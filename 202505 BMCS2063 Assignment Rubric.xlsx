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 Rubric" sheetId="1" r:id="rId4"/>
    <sheet state="visible" name="Student1" sheetId="2" r:id="rId5"/>
    <sheet state="visible" name="Student2" sheetId="3" r:id="rId6"/>
    <sheet state="visible" name="Student3" sheetId="4" r:id="rId7"/>
    <sheet state="visible" name="Student4" sheetId="5" r:id="rId8"/>
    <sheet state="visible" name="Student5" sheetId="6" r:id="rId9"/>
  </sheets>
  <definedNames/>
  <calcPr/>
  <extLst>
    <ext uri="GoogleSheetsCustomDataVersion2">
      <go:sheetsCustomData xmlns:go="http://customooxmlschemas.google.com/" r:id="rId10" roundtripDataChecksum="WbFIowCwlekzAqqaRSmARkGf8VZGmbdQ8rVR8UpbKMQ="/>
    </ext>
  </extLst>
</workbook>
</file>

<file path=xl/sharedStrings.xml><?xml version="1.0" encoding="utf-8"?>
<sst xmlns="http://schemas.openxmlformats.org/spreadsheetml/2006/main" count="240" uniqueCount="58">
  <si>
    <r>
      <rPr>
        <rFont val="Arial"/>
        <b/>
        <color rgb="FF000000"/>
        <sz val="11.0"/>
      </rPr>
      <t xml:space="preserve">BMCS2063 Data Structures and Algorithms - Assignment Rubrics </t>
    </r>
    <r>
      <rPr>
        <rFont val="Arial"/>
        <b/>
        <color rgb="FF0000FF"/>
        <sz val="11.0"/>
      </rPr>
      <t>202505</t>
    </r>
  </si>
  <si>
    <t>Team marks:</t>
  </si>
  <si>
    <t>Team members:</t>
  </si>
  <si>
    <t>Tutor name:</t>
  </si>
  <si>
    <t>Programme/Group:</t>
  </si>
  <si>
    <t>Assessment Criteria</t>
  </si>
  <si>
    <t>Developing
1 - 4 Marks</t>
  </si>
  <si>
    <t>Approaching
5 - 7 Marks</t>
  </si>
  <si>
    <t>Ideal
8 - 10 Marks</t>
  </si>
  <si>
    <t>Marks Awarded</t>
  </si>
  <si>
    <t>Weightage</t>
  </si>
  <si>
    <t>Weighted Marks</t>
  </si>
  <si>
    <t xml:space="preserve">ADT specification
</t>
  </si>
  <si>
    <t>Includes 2 or more of the the items listed under "Approaching".</t>
  </si>
  <si>
    <t>• Incomplete information OR
• Unclear/inaccurate descriptions OR 
• Includes details of the ADT implementation or entity objects.</t>
  </si>
  <si>
    <t>• Correct format AND
• Complete information AND
• Clear &amp; accurate descriptions.</t>
  </si>
  <si>
    <t>Collection ADT Implementation</t>
  </si>
  <si>
    <t>• Inconsistent with ADT spec. OR
• Implementation is not generic OR
• Coding is not efficient or elegant.</t>
  </si>
  <si>
    <t>• Consistent with ADT spec. AND
• Correct use of generic types AND
• Efficient &amp; elegant coding.</t>
  </si>
  <si>
    <t>Collection ADT implementation
- originality</t>
  </si>
  <si>
    <t>Does not demonstrate any originality of implementation &amp; application of new knowledge.</t>
  </si>
  <si>
    <t>• The ADT has not been covered in the course OR 
• Includes additional/modified operations that are non-trivial and meaningful.</t>
  </si>
  <si>
    <t>• The ADT is not covered in the course OR 
• The implementation approach is different from the sample code.</t>
  </si>
  <si>
    <t xml:space="preserve">Comments:   </t>
  </si>
  <si>
    <t xml:space="preserve">Total Mark  </t>
  </si>
  <si>
    <t>Student's name:</t>
  </si>
  <si>
    <t>Use of ADTs
- either in entity and/or control class(es)</t>
  </si>
  <si>
    <t>• Inappropriate selection of ADT AND
• Inappropriate use of ADT.</t>
  </si>
  <si>
    <t>• Appropriate selection of ADT OR
• Appropriate use of ADT.</t>
  </si>
  <si>
    <t>• Appropriate selection of ADT AND
• Appropriate use of ADT.</t>
  </si>
  <si>
    <t>Use of ADTs 
- creativity &amp; complexity</t>
  </si>
  <si>
    <t>The functionalities/features in the entity and/or control classes do not demonstrate any use of ADTs.</t>
  </si>
  <si>
    <t>The functionalities/features in the entity and/or control classes are creatively designed to demonstrate the use of the ADT.</t>
  </si>
  <si>
    <r>
      <rPr>
        <rFont val="Arial, sans-serif"/>
        <color rgb="FF000000"/>
        <sz val="8.0"/>
      </rPr>
      <t xml:space="preserve">The functionalities/features in the entity and/or control classes are </t>
    </r>
    <r>
      <rPr>
        <rFont val="Arial, sans-serif"/>
        <b/>
        <color rgb="FF000000"/>
        <sz val="8.0"/>
      </rPr>
      <t>very</t>
    </r>
    <r>
      <rPr>
        <rFont val="Arial, sans-serif"/>
        <color rgb="FF000000"/>
        <sz val="8.0"/>
      </rPr>
      <t xml:space="preserve"> creatively designed to demonstrate the use of the ADT.</t>
    </r>
  </si>
  <si>
    <t>Overall solution</t>
  </si>
  <si>
    <t xml:space="preserve">• There is one or more major bugs AND
• Inappropriate use of packages.
</t>
  </si>
  <si>
    <t xml:space="preserve">• No major bugs BUT
• Inappropriate use of packages.
</t>
  </si>
  <si>
    <t xml:space="preserve">• No major bugs AND
• Appropriate use of packages AND
• The code is integrated with the team's NetBeans project.
</t>
  </si>
  <si>
    <r>
      <rPr>
        <rFont val="Arial"/>
        <b/>
        <color rgb="FF000000"/>
        <sz val="10.0"/>
      </rPr>
      <t>CLO2</t>
    </r>
    <r>
      <rPr>
        <rFont val="Arial"/>
        <color rgb="FF000000"/>
        <sz val="10.0"/>
      </rPr>
      <t xml:space="preserve"> Produce a software program using appropriate data structures and algorithms (P4, PLO3)</t>
    </r>
  </si>
  <si>
    <t>Subtotal</t>
  </si>
  <si>
    <t>Oral explanation on the implementation &amp; use of ADTs.</t>
  </si>
  <si>
    <t xml:space="preserve">• Unclear explanation about ADT implementation AND
• Unclear explanation on the use of ADTs
</t>
  </si>
  <si>
    <t xml:space="preserve">• Unclear explanation about ADT implementation OR
• Unclear explanation on the use of ADTs
</t>
  </si>
  <si>
    <t xml:space="preserve">• Clear explanation about ADT implementation AND
• Clear explanation on the use of ADTs
</t>
  </si>
  <si>
    <r>
      <rPr>
        <rFont val="Arial"/>
        <b/>
        <color rgb="FF000000"/>
        <sz val="10.0"/>
      </rPr>
      <t xml:space="preserve">CLO3 </t>
    </r>
    <r>
      <rPr>
        <rFont val="Arial"/>
        <b val="0"/>
        <color rgb="FF000000"/>
        <sz val="10.0"/>
      </rPr>
      <t>Explain the implementation and appropriateness of data structures for a specific scenario (A4, PLO5).</t>
    </r>
  </si>
  <si>
    <t xml:space="preserve">Comments:      </t>
  </si>
  <si>
    <r>
      <rPr>
        <rFont val="Arial, sans-serif"/>
        <color rgb="FF000000"/>
        <sz val="8.0"/>
      </rPr>
      <t xml:space="preserve">The functionalities/features in the entity and/or control classes are </t>
    </r>
    <r>
      <rPr>
        <rFont val="Arial, sans-serif"/>
        <b/>
        <color rgb="FF000000"/>
        <sz val="8.0"/>
      </rPr>
      <t>very</t>
    </r>
    <r>
      <rPr>
        <rFont val="Arial, sans-serif"/>
        <color rgb="FF000000"/>
        <sz val="8.0"/>
      </rPr>
      <t xml:space="preserve"> creatively designed to demonstrate the use of the ADT.</t>
    </r>
  </si>
  <si>
    <r>
      <rPr>
        <rFont val="Arial"/>
        <b/>
        <color rgb="FF000000"/>
        <sz val="10.0"/>
      </rPr>
      <t>CLO2</t>
    </r>
    <r>
      <rPr>
        <rFont val="Arial"/>
        <color rgb="FF000000"/>
        <sz val="10.0"/>
      </rPr>
      <t xml:space="preserve"> Produce a software program using appropriate data structures and algorithms (P4, PLO3)</t>
    </r>
  </si>
  <si>
    <r>
      <rPr>
        <rFont val="Arial"/>
        <b/>
        <color rgb="FF000000"/>
        <sz val="10.0"/>
      </rPr>
      <t xml:space="preserve">CLO3 </t>
    </r>
    <r>
      <rPr>
        <rFont val="Arial"/>
        <b val="0"/>
        <color rgb="FF000000"/>
        <sz val="10.0"/>
      </rPr>
      <t>Explain the implementation and appropriateness of data structures for a specific scenario (A4, PLO5).</t>
    </r>
  </si>
  <si>
    <r>
      <rPr>
        <rFont val="Arial, sans-serif"/>
        <color rgb="FF000000"/>
        <sz val="8.0"/>
      </rPr>
      <t xml:space="preserve">The functionalities/features in the entity and/or control classes are </t>
    </r>
    <r>
      <rPr>
        <rFont val="Arial, sans-serif"/>
        <b/>
        <color rgb="FF000000"/>
        <sz val="8.0"/>
      </rPr>
      <t>very</t>
    </r>
    <r>
      <rPr>
        <rFont val="Arial, sans-serif"/>
        <color rgb="FF000000"/>
        <sz val="8.0"/>
      </rPr>
      <t xml:space="preserve"> creatively designed to demonstrate the use of the ADT.</t>
    </r>
  </si>
  <si>
    <r>
      <rPr>
        <rFont val="Arial"/>
        <b/>
        <color rgb="FF000000"/>
        <sz val="10.0"/>
      </rPr>
      <t>CLO2</t>
    </r>
    <r>
      <rPr>
        <rFont val="Arial"/>
        <color rgb="FF000000"/>
        <sz val="10.0"/>
      </rPr>
      <t xml:space="preserve"> Produce a software program using appropriate data structures and algorithms (P4, PLO3)</t>
    </r>
  </si>
  <si>
    <r>
      <rPr>
        <rFont val="Arial"/>
        <b/>
        <color rgb="FF000000"/>
        <sz val="10.0"/>
      </rPr>
      <t xml:space="preserve">CLO3 </t>
    </r>
    <r>
      <rPr>
        <rFont val="Arial"/>
        <b val="0"/>
        <color rgb="FF000000"/>
        <sz val="10.0"/>
      </rPr>
      <t>Explain the implementation and appropriateness of data structures for a specific scenario (A4, PLO5).</t>
    </r>
  </si>
  <si>
    <r>
      <rPr>
        <rFont val="Arial, sans-serif"/>
        <color rgb="FF000000"/>
        <sz val="8.0"/>
      </rPr>
      <t xml:space="preserve">The functionalities/features in the entity and/or control classes are </t>
    </r>
    <r>
      <rPr>
        <rFont val="Arial, sans-serif"/>
        <b/>
        <color rgb="FF000000"/>
        <sz val="8.0"/>
      </rPr>
      <t>very</t>
    </r>
    <r>
      <rPr>
        <rFont val="Arial, sans-serif"/>
        <color rgb="FF000000"/>
        <sz val="8.0"/>
      </rPr>
      <t xml:space="preserve"> creatively designed to demonstrate the use of the ADT.</t>
    </r>
  </si>
  <si>
    <r>
      <rPr>
        <rFont val="Arial"/>
        <b/>
        <color rgb="FF000000"/>
        <sz val="10.0"/>
      </rPr>
      <t>CLO2</t>
    </r>
    <r>
      <rPr>
        <rFont val="Arial"/>
        <color rgb="FF000000"/>
        <sz val="10.0"/>
      </rPr>
      <t xml:space="preserve"> Produce a software program using appropriate data structures and algorithms (P4, PLO3)</t>
    </r>
  </si>
  <si>
    <r>
      <rPr>
        <rFont val="Arial"/>
        <b/>
        <color rgb="FF000000"/>
        <sz val="10.0"/>
      </rPr>
      <t xml:space="preserve">CLO3 </t>
    </r>
    <r>
      <rPr>
        <rFont val="Arial"/>
        <b val="0"/>
        <color rgb="FF000000"/>
        <sz val="10.0"/>
      </rPr>
      <t>Explain the implementation and appropriateness of data structures for a specific scenario (A4, PLO5).</t>
    </r>
  </si>
  <si>
    <r>
      <rPr>
        <rFont val="Arial, sans-serif"/>
        <color rgb="FF000000"/>
        <sz val="8.0"/>
      </rPr>
      <t xml:space="preserve">The functionalities/features in the entity and/or control classes are </t>
    </r>
    <r>
      <rPr>
        <rFont val="Arial, sans-serif"/>
        <b/>
        <color rgb="FF000000"/>
        <sz val="8.0"/>
      </rPr>
      <t>very</t>
    </r>
    <r>
      <rPr>
        <rFont val="Arial, sans-serif"/>
        <color rgb="FF000000"/>
        <sz val="8.0"/>
      </rPr>
      <t xml:space="preserve"> creatively designed to demonstrate the use of the ADT.</t>
    </r>
  </si>
  <si>
    <r>
      <rPr>
        <rFont val="Arial"/>
        <b/>
        <color rgb="FF000000"/>
        <sz val="10.0"/>
      </rPr>
      <t>CLO2</t>
    </r>
    <r>
      <rPr>
        <rFont val="Arial"/>
        <color rgb="FF000000"/>
        <sz val="10.0"/>
      </rPr>
      <t xml:space="preserve"> Produce a software program using appropriate data structures and algorithms (P4, PLO3)</t>
    </r>
  </si>
  <si>
    <r>
      <rPr>
        <rFont val="Arial"/>
        <b/>
        <color rgb="FF000000"/>
        <sz val="10.0"/>
      </rPr>
      <t xml:space="preserve">CLO3 </t>
    </r>
    <r>
      <rPr>
        <rFont val="Arial"/>
        <b val="0"/>
        <color rgb="FF000000"/>
        <sz val="10.0"/>
      </rPr>
      <t>Explain the implementation and appropriateness of data structures for a specific scenario (A4, PLO5).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</si>
</sst>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0.0"/>
      <color rgb="FF000000"/>
      <name val="Arial"/>
      <scheme val="minor"/>
    </font>
    <font>
      <b/>
      <sz val="11.0"/>
      <color rgb="FF000000"/>
      <name val="Arial"/>
    </font>
    <font>
      <color rgb="FF000000"/>
      <name val="Arial"/>
    </font>
    <font>
      <b/>
      <sz val="14.0"/>
      <color rgb="FF000000"/>
      <name val="Arial"/>
    </font>
    <font>
      <b/>
      <sz val="16.0"/>
      <color rgb="FF0000FF"/>
      <name val="Arial"/>
    </font>
    <font>
      <sz val="11.0"/>
      <color theme="1"/>
      <name val="Arial"/>
    </font>
    <font>
      <sz val="11.0"/>
      <color rgb="FF000000"/>
      <name val="Arial"/>
    </font>
    <font>
      <b/>
      <sz val="8.0"/>
      <color rgb="FF000000"/>
      <name val="Arial"/>
    </font>
    <font>
      <b/>
      <sz val="9.0"/>
      <color rgb="FF000000"/>
      <name val="Arial"/>
    </font>
    <font>
      <b/>
      <sz val="11.0"/>
      <color rgb="FF0000FF"/>
      <name val="Arial"/>
    </font>
    <font/>
    <font>
      <b/>
      <sz val="10.0"/>
      <color rgb="FF000000"/>
      <name val="Arial"/>
    </font>
    <font>
      <b/>
      <sz val="12.0"/>
      <color rgb="FF000000"/>
      <name val="Arial"/>
    </font>
    <font>
      <sz val="8.0"/>
      <color rgb="FF000000"/>
      <name val="Arial"/>
    </font>
    <font>
      <sz val="8.0"/>
      <color theme="1"/>
      <name val="Arial"/>
    </font>
    <font>
      <sz val="14.0"/>
      <color rgb="FF000000"/>
      <name val="Arial"/>
    </font>
    <font>
      <sz val="9.0"/>
      <color rgb="FF000000"/>
      <name val="Arial"/>
    </font>
    <font>
      <color theme="1"/>
      <name val="Arial"/>
    </font>
    <font>
      <b/>
      <sz val="14.0"/>
      <color theme="1"/>
      <name val="Arial"/>
    </font>
    <font>
      <sz val="10.0"/>
      <color rgb="FF000000"/>
      <name val="Arial"/>
    </font>
    <font>
      <b/>
      <sz val="13.0"/>
      <color rgb="FF000000"/>
      <name val="Arial"/>
    </font>
    <font>
      <color rgb="FFFF0000"/>
      <name val="Arial"/>
    </font>
    <font>
      <b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</fills>
  <borders count="20">
    <border/>
    <border>
      <bottom style="thin">
        <color rgb="FF000000"/>
      </bottom>
    </border>
    <border>
      <bottom style="thin">
        <color rgb="FF0000FF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FF"/>
      </left>
      <right style="thin">
        <color rgb="FF0000FF"/>
      </right>
      <top style="thin">
        <color rgb="FF0000FF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</border>
    <border>
      <left style="thin">
        <color rgb="FF0000FF"/>
      </left>
      <right style="thin">
        <color rgb="FF0000FF"/>
      </right>
      <bottom style="thin">
        <color rgb="FF0000FF"/>
      </bottom>
    </border>
    <border>
      <top style="thin">
        <color rgb="FF000000"/>
      </top>
      <bottom style="thin">
        <color rgb="FF000000"/>
      </bottom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00"/>
      </bottom>
    </border>
    <border>
      <left style="thin">
        <color rgb="FF0000FF"/>
      </left>
      <right style="thin">
        <color rgb="FF0000FF"/>
      </right>
      <top style="thin">
        <color rgb="FF000000"/>
      </top>
      <bottom style="thin">
        <color rgb="FF000000"/>
      </bottom>
    </border>
    <border>
      <left style="thin">
        <color rgb="FF0000FF"/>
      </left>
      <right style="thin">
        <color rgb="FF0000FF"/>
      </right>
      <top style="thin">
        <color rgb="FF000000"/>
      </top>
      <bottom style="thin">
        <color rgb="FF0000FF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right" vertical="center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vertical="center"/>
    </xf>
    <xf borderId="0" fillId="0" fontId="7" numFmtId="0" xfId="0" applyAlignment="1" applyFont="1">
      <alignment horizontal="left" shrinkToFit="0" vertical="top" wrapText="1"/>
    </xf>
    <xf borderId="0" fillId="0" fontId="7" numFmtId="0" xfId="0" applyAlignment="1" applyFont="1">
      <alignment horizontal="center" shrinkToFit="0" vertical="top" wrapText="1"/>
    </xf>
    <xf borderId="0" fillId="0" fontId="8" numFmtId="0" xfId="0" applyAlignment="1" applyFont="1">
      <alignment horizontal="center" shrinkToFit="0" vertical="top" wrapText="1"/>
    </xf>
    <xf borderId="0" fillId="0" fontId="6" numFmtId="0" xfId="0" applyFont="1"/>
    <xf borderId="0" fillId="0" fontId="1" numFmtId="0" xfId="0" applyAlignment="1" applyFont="1">
      <alignment horizontal="right" vertical="center"/>
    </xf>
    <xf borderId="1" fillId="2" fontId="9" numFmtId="0" xfId="0" applyAlignment="1" applyBorder="1" applyFill="1" applyFont="1">
      <alignment horizontal="left" shrinkToFit="0" vertical="center" wrapText="1"/>
    </xf>
    <xf borderId="1" fillId="0" fontId="10" numFmtId="0" xfId="0" applyBorder="1" applyFont="1"/>
    <xf borderId="0" fillId="0" fontId="1" numFmtId="0" xfId="0" applyAlignment="1" applyFont="1">
      <alignment horizontal="left" shrinkToFit="0" vertical="center" wrapText="1"/>
    </xf>
    <xf borderId="2" fillId="0" fontId="6" numFmtId="0" xfId="0" applyAlignment="1" applyBorder="1" applyFont="1">
      <alignment horizontal="left" vertical="center"/>
    </xf>
    <xf borderId="2" fillId="0" fontId="10" numFmtId="0" xfId="0" applyBorder="1" applyFont="1"/>
    <xf borderId="2" fillId="0" fontId="6" numFmtId="0" xfId="0" applyAlignment="1" applyBorder="1" applyFont="1">
      <alignment horizontal="right" vertical="center"/>
    </xf>
    <xf borderId="0" fillId="0" fontId="11" numFmtId="0" xfId="0" applyAlignment="1" applyFont="1">
      <alignment horizontal="left"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2" numFmtId="0" xfId="0" applyAlignment="1" applyFont="1">
      <alignment horizontal="center" shrinkToFit="0" vertical="center" wrapText="1"/>
    </xf>
    <xf borderId="3" fillId="3" fontId="11" numFmtId="0" xfId="0" applyAlignment="1" applyBorder="1" applyFill="1" applyFont="1">
      <alignment horizontal="left" shrinkToFit="0" vertical="top" wrapText="1"/>
    </xf>
    <xf borderId="3" fillId="3" fontId="11" numFmtId="0" xfId="0" applyAlignment="1" applyBorder="1" applyFont="1">
      <alignment horizontal="center" shrinkToFit="0" vertical="top" wrapText="1"/>
    </xf>
    <xf borderId="3" fillId="3" fontId="1" numFmtId="0" xfId="0" applyAlignment="1" applyBorder="1" applyFont="1">
      <alignment horizontal="center" shrinkToFit="0" vertical="top" wrapText="1"/>
    </xf>
    <xf borderId="4" fillId="0" fontId="10" numFmtId="0" xfId="0" applyBorder="1" applyFont="1"/>
    <xf borderId="5" fillId="4" fontId="13" numFmtId="0" xfId="0" applyAlignment="1" applyBorder="1" applyFill="1" applyFont="1">
      <alignment horizontal="left" shrinkToFit="0" vertical="top" wrapText="1"/>
    </xf>
    <xf borderId="5" fillId="4" fontId="14" numFmtId="0" xfId="0" applyAlignment="1" applyBorder="1" applyFont="1">
      <alignment shrinkToFit="0" vertical="top" wrapText="1"/>
    </xf>
    <xf borderId="6" fillId="4" fontId="14" numFmtId="0" xfId="0" applyAlignment="1" applyBorder="1" applyFont="1">
      <alignment shrinkToFit="0" vertical="top" wrapText="1"/>
    </xf>
    <xf borderId="7" fillId="4" fontId="15" numFmtId="0" xfId="0" applyAlignment="1" applyBorder="1" applyFont="1">
      <alignment horizontal="center" shrinkToFit="0" vertical="center" wrapText="1"/>
    </xf>
    <xf borderId="8" fillId="4" fontId="6" numFmtId="0" xfId="0" applyAlignment="1" applyBorder="1" applyFont="1">
      <alignment horizontal="center" shrinkToFit="0" vertical="center" wrapText="1"/>
    </xf>
    <xf borderId="5" fillId="4" fontId="15" numFmtId="0" xfId="0" applyAlignment="1" applyBorder="1" applyFont="1">
      <alignment horizontal="center" shrinkToFit="0" vertical="center" wrapText="1"/>
    </xf>
    <xf borderId="9" fillId="4" fontId="15" numFmtId="0" xfId="0" applyAlignment="1" applyBorder="1" applyFont="1">
      <alignment horizontal="center" shrinkToFit="0" vertical="center" wrapText="1"/>
    </xf>
    <xf borderId="6" fillId="4" fontId="13" numFmtId="0" xfId="0" applyAlignment="1" applyBorder="1" applyFont="1">
      <alignment horizontal="left" shrinkToFit="0" vertical="top" wrapText="1"/>
    </xf>
    <xf borderId="10" fillId="4" fontId="15" numFmtId="0" xfId="0" applyAlignment="1" applyBorder="1" applyFont="1">
      <alignment horizontal="center" shrinkToFit="0" vertical="center" wrapText="1"/>
    </xf>
    <xf borderId="6" fillId="0" fontId="16" numFmtId="0" xfId="0" applyAlignment="1" applyBorder="1" applyFont="1">
      <alignment horizontal="left" shrinkToFit="0" vertical="top" wrapText="1"/>
    </xf>
    <xf borderId="11" fillId="0" fontId="10" numFmtId="0" xfId="0" applyBorder="1" applyFont="1"/>
    <xf borderId="8" fillId="0" fontId="10" numFmtId="0" xfId="0" applyBorder="1" applyFont="1"/>
    <xf borderId="0" fillId="0" fontId="16" numFmtId="0" xfId="0" applyAlignment="1" applyFont="1">
      <alignment vertical="top"/>
    </xf>
    <xf borderId="0" fillId="0" fontId="17" numFmtId="0" xfId="0" applyAlignment="1" applyFont="1">
      <alignment vertical="center"/>
    </xf>
    <xf borderId="0" fillId="0" fontId="18" numFmtId="0" xfId="0" applyAlignment="1" applyFont="1">
      <alignment horizontal="right" vertical="center"/>
    </xf>
    <xf borderId="5" fillId="0" fontId="18" numFmtId="0" xfId="0" applyAlignment="1" applyBorder="1" applyFont="1">
      <alignment horizontal="center" vertical="center"/>
    </xf>
    <xf borderId="0" fillId="0" fontId="19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right" vertical="top"/>
    </xf>
    <xf borderId="2" fillId="0" fontId="20" numFmtId="0" xfId="0" applyAlignment="1" applyBorder="1" applyFont="1">
      <alignment horizontal="right" vertical="top"/>
    </xf>
    <xf borderId="1" fillId="0" fontId="6" numFmtId="0" xfId="0" applyAlignment="1" applyBorder="1" applyFont="1">
      <alignment horizontal="left" vertical="top"/>
    </xf>
    <xf borderId="1" fillId="0" fontId="20" numFmtId="0" xfId="0" applyAlignment="1" applyBorder="1" applyFont="1">
      <alignment horizontal="right" vertical="center"/>
    </xf>
    <xf borderId="5" fillId="4" fontId="14" numFmtId="0" xfId="0" applyAlignment="1" applyBorder="1" applyFont="1">
      <alignment shrinkToFit="0" vertical="center" wrapText="1"/>
    </xf>
    <xf borderId="5" fillId="3" fontId="17" numFmtId="0" xfId="0" applyAlignment="1" applyBorder="1" applyFont="1">
      <alignment horizontal="center" vertical="center"/>
    </xf>
    <xf borderId="5" fillId="4" fontId="6" numFmtId="0" xfId="0" applyAlignment="1" applyBorder="1" applyFont="1">
      <alignment horizontal="center" shrinkToFit="0" vertical="center" wrapText="1"/>
    </xf>
    <xf borderId="3" fillId="3" fontId="17" numFmtId="0" xfId="0" applyAlignment="1" applyBorder="1" applyFont="1">
      <alignment horizontal="center" vertical="center"/>
    </xf>
    <xf borderId="6" fillId="4" fontId="14" numFmtId="0" xfId="0" applyAlignment="1" applyBorder="1" applyFont="1">
      <alignment shrinkToFit="0" vertical="center" wrapText="1"/>
    </xf>
    <xf borderId="12" fillId="4" fontId="17" numFmtId="0" xfId="0" applyAlignment="1" applyBorder="1" applyFont="1">
      <alignment horizontal="center" vertical="center"/>
    </xf>
    <xf borderId="13" fillId="4" fontId="17" numFmtId="0" xfId="0" applyAlignment="1" applyBorder="1" applyFont="1">
      <alignment horizontal="center" vertical="center"/>
    </xf>
    <xf borderId="14" fillId="4" fontId="17" numFmtId="0" xfId="0" applyAlignment="1" applyBorder="1" applyFont="1">
      <alignment horizontal="center" vertical="center"/>
    </xf>
    <xf borderId="6" fillId="5" fontId="21" numFmtId="0" xfId="0" applyAlignment="1" applyBorder="1" applyFill="1" applyFont="1">
      <alignment horizontal="right" shrinkToFit="0" vertical="center" wrapText="1"/>
    </xf>
    <xf borderId="5" fillId="5" fontId="20" numFmtId="0" xfId="0" applyAlignment="1" applyBorder="1" applyFont="1">
      <alignment horizontal="center" shrinkToFit="0" vertical="center" wrapText="1"/>
    </xf>
    <xf borderId="3" fillId="6" fontId="14" numFmtId="0" xfId="0" applyAlignment="1" applyBorder="1" applyFill="1" applyFont="1">
      <alignment shrinkToFit="0" vertical="center" wrapText="1"/>
    </xf>
    <xf borderId="15" fillId="6" fontId="14" numFmtId="0" xfId="0" applyAlignment="1" applyBorder="1" applyFont="1">
      <alignment shrinkToFit="0" vertical="center" wrapText="1"/>
    </xf>
    <xf borderId="7" fillId="6" fontId="17" numFmtId="0" xfId="0" applyAlignment="1" applyBorder="1" applyFont="1">
      <alignment horizontal="center" vertical="center"/>
    </xf>
    <xf borderId="16" fillId="6" fontId="19" numFmtId="0" xfId="0" applyAlignment="1" applyBorder="1" applyFont="1">
      <alignment horizontal="center" shrinkToFit="0" vertical="center" wrapText="1"/>
    </xf>
    <xf borderId="3" fillId="6" fontId="3" numFmtId="0" xfId="0" applyAlignment="1" applyBorder="1" applyFont="1">
      <alignment horizontal="center" shrinkToFit="0" vertical="center" wrapText="1"/>
    </xf>
    <xf borderId="17" fillId="6" fontId="22" numFmtId="0" xfId="0" applyAlignment="1" applyBorder="1" applyFont="1">
      <alignment horizontal="right" shrinkToFit="0" vertical="center" wrapText="1"/>
    </xf>
    <xf borderId="10" fillId="0" fontId="10" numFmtId="0" xfId="0" applyBorder="1" applyFont="1"/>
    <xf borderId="18" fillId="0" fontId="10" numFmtId="0" xfId="0" applyBorder="1" applyFont="1"/>
    <xf borderId="19" fillId="0" fontId="10" numFmtId="0" xfId="0" applyBorder="1" applyFont="1"/>
    <xf borderId="11" fillId="0" fontId="16" numFmtId="0" xfId="0" applyAlignment="1" applyBorder="1" applyFont="1">
      <alignment horizontal="left" shrinkToFit="0" vertical="top" wrapText="1"/>
    </xf>
    <xf borderId="5" fillId="3" fontId="17" numFmtId="0" xfId="0" applyAlignment="1" applyBorder="1" applyFont="1">
      <alignment horizontal="center"/>
    </xf>
    <xf borderId="5" fillId="4" fontId="17" numFmtId="0" xfId="0" applyAlignment="1" applyBorder="1" applyFont="1">
      <alignment horizontal="center" vertical="center"/>
    </xf>
    <xf borderId="3" fillId="6" fontId="14" numFmtId="0" xfId="0" applyAlignment="1" applyBorder="1" applyFont="1">
      <alignment shrinkToFit="0" vertical="top" wrapText="1"/>
    </xf>
    <xf borderId="3" fillId="6" fontId="17" numFmtId="0" xfId="0" applyAlignment="1" applyBorder="1" applyFont="1">
      <alignment vertical="center"/>
    </xf>
    <xf borderId="3" fillId="6" fontId="19" numFmtId="0" xfId="0" applyAlignment="1" applyBorder="1" applyFont="1">
      <alignment horizontal="center" shrinkToFit="0" vertical="center" wrapText="1"/>
    </xf>
    <xf borderId="17" fillId="6" fontId="22" numFmtId="0" xfId="0" applyAlignment="1" applyBorder="1" applyFont="1">
      <alignment horizontal="right" shrinkToFit="0" wrapText="1"/>
    </xf>
    <xf borderId="3" fillId="6" fontId="17" numFmtId="0" xfId="0" applyAlignment="1" applyBorder="1" applyFont="1">
      <alignment horizontal="center" vertical="center"/>
    </xf>
    <xf borderId="5" fillId="4" fontId="17" numFmtId="0" xfId="0" applyAlignment="1" applyBorder="1" applyFont="1">
      <alignment horizontal="center"/>
    </xf>
    <xf borderId="3" fillId="6" fontId="17" numFmtId="0" xfId="0" applyAlignment="1" applyBorder="1" applyFont="1">
      <alignment horizontal="center"/>
    </xf>
    <xf borderId="3" fillId="6" fontId="17" numFmtId="0" xfId="0" applyBorder="1" applyFont="1"/>
  </cellXfs>
  <cellStyles count="1">
    <cellStyle xfId="0" name="Normal" builtinId="0"/>
  </cellStyles>
  <dxfs count="2">
    <dxf>
      <font>
        <color rgb="FFFF0000"/>
      </font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5.75"/>
    <col customWidth="1" min="2" max="2" width="20.38"/>
    <col customWidth="1" min="3" max="3" width="22.13"/>
    <col customWidth="1" min="4" max="4" width="23.88"/>
    <col customWidth="1" min="5" max="5" width="12.0"/>
    <col customWidth="1" min="6" max="6" width="11.0"/>
    <col customWidth="1" min="7" max="7" width="11.63"/>
  </cols>
  <sheetData>
    <row r="1" ht="31.5" customHeight="1">
      <c r="A1" s="1" t="s">
        <v>0</v>
      </c>
      <c r="B1" s="2"/>
      <c r="C1" s="2"/>
      <c r="D1" s="2"/>
      <c r="E1" s="3"/>
      <c r="F1" s="4" t="s">
        <v>1</v>
      </c>
      <c r="G1" s="5">
        <f>sum(G8:G10)</f>
        <v>0</v>
      </c>
      <c r="H1" s="6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ht="1.5" customHeight="1">
      <c r="A2" s="8"/>
      <c r="B2" s="9"/>
      <c r="C2" s="9"/>
      <c r="D2" s="9"/>
      <c r="E2" s="10"/>
      <c r="F2" s="10"/>
      <c r="G2" s="10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ht="38.25" customHeight="1">
      <c r="A3" s="12" t="s">
        <v>2</v>
      </c>
      <c r="B3" s="13" t="str">
        <f>IFERROR(__xludf.DUMMYFUNCTION("JOIN("","", Student1!E3,Student2!E3,Student3!E3,Student4!E3,Student5!E3)"),",,,,")</f>
        <v>,,,,</v>
      </c>
      <c r="C3" s="14"/>
      <c r="D3" s="15"/>
      <c r="E3" s="15"/>
      <c r="F3" s="15"/>
      <c r="G3" s="15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ht="26.25" customHeight="1">
      <c r="A4" s="12" t="s">
        <v>3</v>
      </c>
      <c r="B4" s="16"/>
      <c r="C4" s="17"/>
      <c r="E4" s="12" t="s">
        <v>4</v>
      </c>
      <c r="F4" s="18"/>
      <c r="G4" s="17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</row>
    <row r="5" ht="9.75" customHeight="1">
      <c r="A5" s="19"/>
      <c r="B5" s="20"/>
      <c r="C5" s="20"/>
      <c r="D5" s="20"/>
      <c r="E5" s="21"/>
      <c r="F5" s="12"/>
      <c r="G5" s="12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ht="14.25" customHeight="1">
      <c r="A6" s="22" t="s">
        <v>5</v>
      </c>
      <c r="B6" s="23" t="s">
        <v>6</v>
      </c>
      <c r="C6" s="23" t="s">
        <v>7</v>
      </c>
      <c r="D6" s="23" t="s">
        <v>8</v>
      </c>
      <c r="E6" s="24" t="s">
        <v>9</v>
      </c>
      <c r="F6" s="24" t="s">
        <v>10</v>
      </c>
      <c r="G6" s="24" t="s">
        <v>11</v>
      </c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ht="13.5" customHeight="1">
      <c r="A7" s="25"/>
      <c r="B7" s="25"/>
      <c r="C7" s="25"/>
      <c r="D7" s="25"/>
      <c r="E7" s="25"/>
      <c r="F7" s="25"/>
      <c r="G7" s="25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>
      <c r="A8" s="26" t="s">
        <v>12</v>
      </c>
      <c r="B8" s="27" t="s">
        <v>13</v>
      </c>
      <c r="C8" s="27" t="s">
        <v>14</v>
      </c>
      <c r="D8" s="28" t="s">
        <v>15</v>
      </c>
      <c r="E8" s="29"/>
      <c r="F8" s="30">
        <v>1.0</v>
      </c>
      <c r="G8" s="31">
        <f t="shared" ref="G8:G10" si="1">E8*F8</f>
        <v>0</v>
      </c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 ht="32.25" customHeight="1">
      <c r="A9" s="26" t="s">
        <v>16</v>
      </c>
      <c r="B9" s="27" t="s">
        <v>13</v>
      </c>
      <c r="C9" s="27" t="s">
        <v>17</v>
      </c>
      <c r="D9" s="28" t="s">
        <v>18</v>
      </c>
      <c r="E9" s="32"/>
      <c r="F9" s="30">
        <v>1.0</v>
      </c>
      <c r="G9" s="31">
        <f t="shared" si="1"/>
        <v>0</v>
      </c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>
      <c r="A10" s="26" t="s">
        <v>19</v>
      </c>
      <c r="B10" s="26" t="s">
        <v>20</v>
      </c>
      <c r="C10" s="26" t="s">
        <v>21</v>
      </c>
      <c r="D10" s="33" t="s">
        <v>22</v>
      </c>
      <c r="E10" s="34"/>
      <c r="F10" s="30">
        <v>1.5</v>
      </c>
      <c r="G10" s="31">
        <f t="shared" si="1"/>
        <v>0</v>
      </c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 ht="49.5" customHeight="1">
      <c r="A11" s="35" t="s">
        <v>23</v>
      </c>
      <c r="B11" s="36"/>
      <c r="C11" s="36"/>
      <c r="D11" s="36"/>
      <c r="E11" s="36"/>
      <c r="F11" s="36"/>
      <c r="G11" s="37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</row>
    <row r="12" ht="15.75" customHeight="1">
      <c r="A12" s="38"/>
      <c r="B12" s="38"/>
      <c r="C12" s="38"/>
      <c r="D12" s="38"/>
      <c r="E12" s="38"/>
      <c r="F12" s="38"/>
      <c r="G12" s="38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</row>
    <row r="27" ht="15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</row>
    <row r="28" ht="15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</row>
    <row r="29" ht="15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</row>
    <row r="30" ht="15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</row>
    <row r="31" ht="15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</row>
    <row r="32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</row>
    <row r="33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</row>
    <row r="34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</row>
    <row r="3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</row>
    <row r="37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</row>
    <row r="40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</row>
    <row r="42" ht="15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</row>
    <row r="43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</row>
    <row r="44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</row>
    <row r="45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</row>
    <row r="46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</row>
    <row r="47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</row>
    <row r="48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</row>
    <row r="49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</row>
    <row r="50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</row>
    <row r="52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E6:E7"/>
    <mergeCell ref="F6:F7"/>
    <mergeCell ref="G6:G7"/>
    <mergeCell ref="A11:G11"/>
    <mergeCell ref="B3:C3"/>
    <mergeCell ref="B4:C4"/>
    <mergeCell ref="F4:G4"/>
    <mergeCell ref="A6:A7"/>
    <mergeCell ref="B6:B7"/>
    <mergeCell ref="C6:C7"/>
    <mergeCell ref="D6:D7"/>
  </mergeCells>
  <dataValidations>
    <dataValidation type="decimal" allowBlank="1" showDropDown="1" showInputMessage="1" showErrorMessage="1" prompt="Enter a number between 0 and 10" sqref="E8:E10">
      <formula1>0.0</formula1>
      <formula2>10.0</formula2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75"/>
    <col customWidth="1" min="2" max="2" width="23.25"/>
    <col customWidth="1" min="3" max="3" width="23.75"/>
    <col customWidth="1" min="4" max="4" width="22.5"/>
    <col customWidth="1" min="5" max="5" width="12.25"/>
    <col customWidth="1" min="6" max="6" width="11.0"/>
    <col customWidth="1" min="7" max="7" width="11.63"/>
  </cols>
  <sheetData>
    <row r="1" ht="23.25" customHeight="1">
      <c r="A1" s="2" t="str">
        <f>'Team Rubric'!A1</f>
        <v>BMCS2063 Data Structures and Algorithms - Assignment Rubrics 202505</v>
      </c>
      <c r="B1" s="2"/>
      <c r="C1" s="2"/>
      <c r="D1" s="2"/>
      <c r="E1" s="39"/>
      <c r="F1" s="40" t="s">
        <v>24</v>
      </c>
      <c r="G1" s="41">
        <f>G14+G15</f>
        <v>0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</row>
    <row r="2" ht="9.75" customHeight="1">
      <c r="A2" s="8"/>
      <c r="B2" s="9"/>
      <c r="C2" s="9"/>
      <c r="D2" s="9"/>
      <c r="E2" s="10"/>
      <c r="F2" s="10"/>
      <c r="G2" s="10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ht="19.5" customHeight="1">
      <c r="A3" s="42"/>
      <c r="B3" s="20"/>
      <c r="C3" s="20"/>
      <c r="D3" s="43" t="s">
        <v>25</v>
      </c>
      <c r="E3" s="44"/>
      <c r="F3" s="17"/>
      <c r="G3" s="17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4" ht="22.5" customHeight="1">
      <c r="A4" s="12" t="s">
        <v>3</v>
      </c>
      <c r="B4" s="45" t="str">
        <f>'Team Rubric'!$B$4</f>
        <v/>
      </c>
      <c r="C4" s="14"/>
      <c r="D4" s="12" t="s">
        <v>4</v>
      </c>
      <c r="E4" s="46" t="str">
        <f>'Team Rubric'!F4</f>
        <v/>
      </c>
      <c r="F4" s="14"/>
      <c r="G4" s="14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</row>
    <row r="5" ht="15.75" customHeight="1">
      <c r="A5" s="19"/>
      <c r="B5" s="20"/>
      <c r="C5" s="20"/>
      <c r="D5" s="20"/>
      <c r="E5" s="21"/>
      <c r="F5" s="12"/>
      <c r="G5" s="12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ht="15.75" customHeight="1">
      <c r="A6" s="22" t="s">
        <v>5</v>
      </c>
      <c r="B6" s="23" t="s">
        <v>6</v>
      </c>
      <c r="C6" s="23" t="s">
        <v>7</v>
      </c>
      <c r="D6" s="23" t="s">
        <v>8</v>
      </c>
      <c r="E6" s="24" t="s">
        <v>9</v>
      </c>
      <c r="F6" s="24" t="s">
        <v>10</v>
      </c>
      <c r="G6" s="24" t="s">
        <v>11</v>
      </c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ht="15.75" customHeight="1">
      <c r="A7" s="25"/>
      <c r="B7" s="25"/>
      <c r="C7" s="25"/>
      <c r="D7" s="25"/>
      <c r="E7" s="25"/>
      <c r="F7" s="25"/>
      <c r="G7" s="25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ht="40.5" customHeight="1">
      <c r="A8" s="47" t="s">
        <v>12</v>
      </c>
      <c r="B8" s="47" t="s">
        <v>13</v>
      </c>
      <c r="C8" s="47" t="s">
        <v>14</v>
      </c>
      <c r="D8" s="47" t="s">
        <v>15</v>
      </c>
      <c r="E8" s="48" t="str">
        <f>'Team Rubric'!$E$8</f>
        <v/>
      </c>
      <c r="F8" s="49">
        <v>1.0</v>
      </c>
      <c r="G8" s="31">
        <f t="shared" ref="G8:G13" si="1">E8*F8</f>
        <v>0</v>
      </c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 ht="33.75" customHeight="1">
      <c r="A9" s="47" t="s">
        <v>16</v>
      </c>
      <c r="B9" s="47" t="s">
        <v>13</v>
      </c>
      <c r="C9" s="47" t="s">
        <v>17</v>
      </c>
      <c r="D9" s="47" t="s">
        <v>18</v>
      </c>
      <c r="E9" s="48" t="str">
        <f>'Team Rubric'!$E$9</f>
        <v/>
      </c>
      <c r="F9" s="49">
        <v>1.0</v>
      </c>
      <c r="G9" s="31">
        <f t="shared" si="1"/>
        <v>0</v>
      </c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 ht="42.0" customHeight="1">
      <c r="A10" s="47" t="s">
        <v>19</v>
      </c>
      <c r="B10" s="47" t="s">
        <v>20</v>
      </c>
      <c r="C10" s="47" t="s">
        <v>21</v>
      </c>
      <c r="D10" s="47" t="s">
        <v>22</v>
      </c>
      <c r="E10" s="50" t="str">
        <f>'Team Rubric'!$E$10</f>
        <v/>
      </c>
      <c r="F10" s="49">
        <v>1.5</v>
      </c>
      <c r="G10" s="31">
        <f t="shared" si="1"/>
        <v>0</v>
      </c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 ht="32.25" customHeight="1">
      <c r="A11" s="47" t="s">
        <v>26</v>
      </c>
      <c r="B11" s="47" t="s">
        <v>27</v>
      </c>
      <c r="C11" s="47" t="s">
        <v>28</v>
      </c>
      <c r="D11" s="51" t="s">
        <v>29</v>
      </c>
      <c r="E11" s="52"/>
      <c r="F11" s="30">
        <v>1.5</v>
      </c>
      <c r="G11" s="31">
        <f t="shared" si="1"/>
        <v>0</v>
      </c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</row>
    <row r="12" ht="39.75" customHeight="1">
      <c r="A12" s="47" t="s">
        <v>30</v>
      </c>
      <c r="B12" s="47" t="s">
        <v>31</v>
      </c>
      <c r="C12" s="47" t="s">
        <v>32</v>
      </c>
      <c r="D12" s="51" t="s">
        <v>33</v>
      </c>
      <c r="E12" s="53"/>
      <c r="F12" s="30">
        <v>2.0</v>
      </c>
      <c r="G12" s="31">
        <f t="shared" si="1"/>
        <v>0</v>
      </c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 ht="42.75" customHeight="1">
      <c r="A13" s="47" t="s">
        <v>34</v>
      </c>
      <c r="B13" s="47" t="s">
        <v>35</v>
      </c>
      <c r="C13" s="47" t="s">
        <v>36</v>
      </c>
      <c r="D13" s="51" t="s">
        <v>37</v>
      </c>
      <c r="E13" s="54"/>
      <c r="F13" s="30">
        <v>1.5</v>
      </c>
      <c r="G13" s="31">
        <f t="shared" si="1"/>
        <v>0</v>
      </c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 ht="30.0" customHeight="1">
      <c r="A14" s="55" t="s">
        <v>38</v>
      </c>
      <c r="B14" s="36"/>
      <c r="C14" s="36"/>
      <c r="D14" s="36"/>
      <c r="E14" s="37"/>
      <c r="F14" s="56" t="s">
        <v>39</v>
      </c>
      <c r="G14" s="56">
        <f>sum(G8:G13)</f>
        <v>0</v>
      </c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 ht="42.75" customHeight="1">
      <c r="A15" s="57" t="s">
        <v>40</v>
      </c>
      <c r="B15" s="57" t="s">
        <v>41</v>
      </c>
      <c r="C15" s="57" t="s">
        <v>42</v>
      </c>
      <c r="D15" s="58" t="s">
        <v>43</v>
      </c>
      <c r="E15" s="59"/>
      <c r="F15" s="60">
        <v>1.5</v>
      </c>
      <c r="G15" s="61">
        <f>E15*F15</f>
        <v>0</v>
      </c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 ht="15.75" customHeight="1">
      <c r="A16" s="62" t="s">
        <v>44</v>
      </c>
      <c r="E16" s="63"/>
      <c r="F16" s="64"/>
      <c r="G16" s="65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</row>
    <row r="17" ht="13.5" customHeight="1">
      <c r="A17" s="66"/>
      <c r="B17" s="36"/>
      <c r="C17" s="36"/>
      <c r="D17" s="36"/>
      <c r="E17" s="36"/>
      <c r="F17" s="36"/>
      <c r="G17" s="36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ht="29.25" customHeight="1">
      <c r="A18" s="35" t="s">
        <v>45</v>
      </c>
      <c r="B18" s="36"/>
      <c r="C18" s="36"/>
      <c r="D18" s="36"/>
      <c r="E18" s="36"/>
      <c r="F18" s="36"/>
      <c r="G18" s="37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</row>
    <row r="27" ht="15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</row>
    <row r="28" ht="15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</row>
    <row r="29" ht="15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</row>
    <row r="30" ht="15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</row>
    <row r="31" ht="15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</row>
    <row r="32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</row>
    <row r="33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</row>
    <row r="34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</row>
    <row r="3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</row>
    <row r="37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</row>
    <row r="40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</row>
    <row r="42" ht="15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</row>
    <row r="43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</row>
    <row r="44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</row>
    <row r="45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</row>
    <row r="46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</row>
    <row r="47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</row>
    <row r="48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</row>
    <row r="49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</row>
    <row r="50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</row>
    <row r="52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E6:E7"/>
    <mergeCell ref="F6:F7"/>
    <mergeCell ref="D6:D7"/>
    <mergeCell ref="A14:E14"/>
    <mergeCell ref="E15:E16"/>
    <mergeCell ref="F15:F16"/>
    <mergeCell ref="G15:G16"/>
    <mergeCell ref="A16:D16"/>
    <mergeCell ref="A17:G17"/>
    <mergeCell ref="A18:G18"/>
    <mergeCell ref="E3:G3"/>
    <mergeCell ref="B4:C4"/>
    <mergeCell ref="E4:G4"/>
    <mergeCell ref="A6:A7"/>
    <mergeCell ref="B6:B7"/>
    <mergeCell ref="C6:C7"/>
    <mergeCell ref="G6:G7"/>
  </mergeCells>
  <conditionalFormatting sqref="G14">
    <cfRule type="cellIs" dxfId="0" priority="1" operator="lessThan">
      <formula>40</formula>
    </cfRule>
  </conditionalFormatting>
  <conditionalFormatting sqref="E8:E10">
    <cfRule type="notContainsBlanks" dxfId="1" priority="2">
      <formula>LEN(TRIM(E8))&gt;0</formula>
    </cfRule>
  </conditionalFormatting>
  <dataValidations>
    <dataValidation type="decimal" allowBlank="1" showDropDown="1" showInputMessage="1" showErrorMessage="1" prompt="Enter a number between 0 and 10" sqref="E8:E13 E15">
      <formula1>0.0</formula1>
      <formula2>10.0</formula2>
    </dataValidation>
  </dataValidations>
  <printOptions gridLines="1" horizontalCentered="1"/>
  <pageMargins bottom="0.75" footer="0.0" header="0.0" left="0.7" right="0.7" top="0.75"/>
  <pageSetup paperSize="9" cellComments="atEnd" orientation="landscape" pageOrder="overThenDown"/>
  <colBreaks count="1" manualBreakCount="1">
    <brk id="7" man="1"/>
  </col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5.75"/>
    <col customWidth="1" min="2" max="2" width="23.5"/>
    <col customWidth="1" min="3" max="3" width="23.38"/>
    <col customWidth="1" min="4" max="4" width="24.13"/>
    <col customWidth="1" min="5" max="5" width="12.25"/>
    <col customWidth="1" min="6" max="6" width="11.0"/>
    <col customWidth="1" min="7" max="7" width="11.63"/>
  </cols>
  <sheetData>
    <row r="1" ht="20.25" customHeight="1">
      <c r="A1" s="2" t="str">
        <f>'Team Rubric'!A1</f>
        <v>BMCS2063 Data Structures and Algorithms - Assignment Rubrics 202505</v>
      </c>
      <c r="B1" s="2"/>
      <c r="C1" s="2"/>
      <c r="D1" s="2"/>
      <c r="E1" s="39"/>
      <c r="F1" s="40" t="s">
        <v>24</v>
      </c>
      <c r="G1" s="41">
        <f>G14+G15</f>
        <v>0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</row>
    <row r="2" ht="9.75" customHeight="1">
      <c r="A2" s="8"/>
      <c r="B2" s="9"/>
      <c r="C2" s="9"/>
      <c r="D2" s="9"/>
      <c r="E2" s="10"/>
      <c r="F2" s="10"/>
      <c r="G2" s="10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ht="19.5" customHeight="1">
      <c r="A3" s="42"/>
      <c r="B3" s="20"/>
      <c r="C3" s="20"/>
      <c r="D3" s="43" t="s">
        <v>25</v>
      </c>
      <c r="E3" s="44"/>
      <c r="F3" s="17"/>
      <c r="G3" s="17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4" ht="22.5" customHeight="1">
      <c r="A4" s="12" t="s">
        <v>3</v>
      </c>
      <c r="B4" s="45" t="str">
        <f>'Team Rubric'!$B$4</f>
        <v/>
      </c>
      <c r="C4" s="14"/>
      <c r="D4" s="12" t="s">
        <v>4</v>
      </c>
      <c r="E4" s="46" t="str">
        <f>'Team Rubric'!F4</f>
        <v/>
      </c>
      <c r="F4" s="14"/>
      <c r="G4" s="14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</row>
    <row r="5" ht="15.75" customHeight="1">
      <c r="A5" s="19"/>
      <c r="B5" s="20"/>
      <c r="C5" s="20"/>
      <c r="D5" s="20"/>
      <c r="E5" s="21"/>
      <c r="F5" s="12"/>
      <c r="G5" s="12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ht="15.75" customHeight="1">
      <c r="A6" s="22" t="s">
        <v>5</v>
      </c>
      <c r="B6" s="23" t="s">
        <v>6</v>
      </c>
      <c r="C6" s="23" t="s">
        <v>7</v>
      </c>
      <c r="D6" s="23" t="s">
        <v>8</v>
      </c>
      <c r="E6" s="24" t="s">
        <v>9</v>
      </c>
      <c r="F6" s="24" t="s">
        <v>10</v>
      </c>
      <c r="G6" s="24" t="s">
        <v>11</v>
      </c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ht="15.75" customHeight="1">
      <c r="A7" s="25"/>
      <c r="B7" s="25"/>
      <c r="C7" s="25"/>
      <c r="D7" s="25"/>
      <c r="E7" s="25"/>
      <c r="F7" s="25"/>
      <c r="G7" s="25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ht="39.75" customHeight="1">
      <c r="A8" s="27" t="s">
        <v>12</v>
      </c>
      <c r="B8" s="27" t="s">
        <v>13</v>
      </c>
      <c r="C8" s="27" t="s">
        <v>14</v>
      </c>
      <c r="D8" s="27" t="s">
        <v>15</v>
      </c>
      <c r="E8" s="67" t="str">
        <f>'Team Rubric'!$E$8</f>
        <v/>
      </c>
      <c r="F8" s="49">
        <v>1.0</v>
      </c>
      <c r="G8" s="31">
        <f t="shared" ref="G8:G13" si="1">E8*F8</f>
        <v>0</v>
      </c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 ht="33.75" customHeight="1">
      <c r="A9" s="27" t="s">
        <v>16</v>
      </c>
      <c r="B9" s="27" t="s">
        <v>13</v>
      </c>
      <c r="C9" s="27" t="s">
        <v>17</v>
      </c>
      <c r="D9" s="27" t="s">
        <v>18</v>
      </c>
      <c r="E9" s="67" t="str">
        <f>'Team Rubric'!$E$9</f>
        <v/>
      </c>
      <c r="F9" s="49">
        <v>1.0</v>
      </c>
      <c r="G9" s="31">
        <f t="shared" si="1"/>
        <v>0</v>
      </c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 ht="42.0" customHeight="1">
      <c r="A10" s="27" t="s">
        <v>19</v>
      </c>
      <c r="B10" s="27" t="s">
        <v>20</v>
      </c>
      <c r="C10" s="27" t="s">
        <v>21</v>
      </c>
      <c r="D10" s="27" t="s">
        <v>22</v>
      </c>
      <c r="E10" s="67" t="str">
        <f>'Team Rubric'!$E$10</f>
        <v/>
      </c>
      <c r="F10" s="49">
        <v>1.5</v>
      </c>
      <c r="G10" s="31">
        <f t="shared" si="1"/>
        <v>0</v>
      </c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 ht="32.25" customHeight="1">
      <c r="A11" s="27" t="s">
        <v>26</v>
      </c>
      <c r="B11" s="27" t="s">
        <v>27</v>
      </c>
      <c r="C11" s="27" t="s">
        <v>28</v>
      </c>
      <c r="D11" s="27" t="s">
        <v>29</v>
      </c>
      <c r="E11" s="68"/>
      <c r="F11" s="49">
        <v>1.5</v>
      </c>
      <c r="G11" s="31">
        <f t="shared" si="1"/>
        <v>0</v>
      </c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</row>
    <row r="12" ht="39.75" customHeight="1">
      <c r="A12" s="27" t="s">
        <v>30</v>
      </c>
      <c r="B12" s="27" t="s">
        <v>31</v>
      </c>
      <c r="C12" s="27" t="s">
        <v>32</v>
      </c>
      <c r="D12" s="27" t="s">
        <v>46</v>
      </c>
      <c r="E12" s="68"/>
      <c r="F12" s="49">
        <v>2.0</v>
      </c>
      <c r="G12" s="31">
        <f t="shared" si="1"/>
        <v>0</v>
      </c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 ht="39.75" customHeight="1">
      <c r="A13" s="27" t="s">
        <v>34</v>
      </c>
      <c r="B13" s="27" t="s">
        <v>35</v>
      </c>
      <c r="C13" s="27" t="s">
        <v>36</v>
      </c>
      <c r="D13" s="27" t="s">
        <v>37</v>
      </c>
      <c r="E13" s="68"/>
      <c r="F13" s="49">
        <v>1.5</v>
      </c>
      <c r="G13" s="31">
        <f t="shared" si="1"/>
        <v>0</v>
      </c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 ht="30.0" customHeight="1">
      <c r="A14" s="55" t="s">
        <v>47</v>
      </c>
      <c r="B14" s="36"/>
      <c r="C14" s="36"/>
      <c r="D14" s="36"/>
      <c r="E14" s="37"/>
      <c r="F14" s="56" t="s">
        <v>39</v>
      </c>
      <c r="G14" s="56">
        <f>sum(G8:G13)</f>
        <v>0</v>
      </c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 ht="30.75" customHeight="1">
      <c r="A15" s="69" t="s">
        <v>40</v>
      </c>
      <c r="B15" s="69" t="s">
        <v>41</v>
      </c>
      <c r="C15" s="69" t="s">
        <v>42</v>
      </c>
      <c r="D15" s="69" t="s">
        <v>43</v>
      </c>
      <c r="E15" s="70"/>
      <c r="F15" s="71">
        <v>1.5</v>
      </c>
      <c r="G15" s="61">
        <f>E15*F15</f>
        <v>0</v>
      </c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 ht="15.75" customHeight="1">
      <c r="A16" s="72" t="s">
        <v>48</v>
      </c>
      <c r="E16" s="25"/>
      <c r="F16" s="65"/>
      <c r="G16" s="65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</row>
    <row r="17" ht="12.75" customHeight="1">
      <c r="A17" s="66"/>
      <c r="B17" s="36"/>
      <c r="C17" s="36"/>
      <c r="D17" s="36"/>
      <c r="E17" s="36"/>
      <c r="F17" s="36"/>
      <c r="G17" s="36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ht="30.75" customHeight="1">
      <c r="A18" s="35" t="s">
        <v>45</v>
      </c>
      <c r="B18" s="36"/>
      <c r="C18" s="36"/>
      <c r="D18" s="36"/>
      <c r="E18" s="36"/>
      <c r="F18" s="36"/>
      <c r="G18" s="37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</row>
    <row r="27" ht="15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</row>
    <row r="28" ht="15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</row>
    <row r="29" ht="15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</row>
    <row r="30" ht="15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</row>
    <row r="31" ht="15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</row>
    <row r="32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</row>
    <row r="33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</row>
    <row r="34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</row>
    <row r="3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</row>
    <row r="37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</row>
    <row r="40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</row>
    <row r="42" ht="15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</row>
    <row r="43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</row>
    <row r="44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</row>
    <row r="45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</row>
    <row r="46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</row>
    <row r="47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</row>
    <row r="48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</row>
    <row r="49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</row>
    <row r="50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</row>
    <row r="52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E6:E7"/>
    <mergeCell ref="F6:F7"/>
    <mergeCell ref="D6:D7"/>
    <mergeCell ref="A14:E14"/>
    <mergeCell ref="E15:E16"/>
    <mergeCell ref="F15:F16"/>
    <mergeCell ref="G15:G16"/>
    <mergeCell ref="A16:D16"/>
    <mergeCell ref="A17:G17"/>
    <mergeCell ref="A18:G18"/>
    <mergeCell ref="E3:G3"/>
    <mergeCell ref="B4:C4"/>
    <mergeCell ref="E4:G4"/>
    <mergeCell ref="A6:A7"/>
    <mergeCell ref="B6:B7"/>
    <mergeCell ref="C6:C7"/>
    <mergeCell ref="G6:G7"/>
  </mergeCells>
  <conditionalFormatting sqref="E8:E10">
    <cfRule type="notContainsBlanks" dxfId="1" priority="1">
      <formula>LEN(TRIM(E8))&gt;0</formula>
    </cfRule>
  </conditionalFormatting>
  <conditionalFormatting sqref="G14">
    <cfRule type="cellIs" dxfId="0" priority="2" operator="lessThan">
      <formula>40</formula>
    </cfRule>
  </conditionalFormatting>
  <dataValidations>
    <dataValidation type="decimal" allowBlank="1" showDropDown="1" showInputMessage="1" showErrorMessage="1" prompt="Enter a number between 0 and 10" sqref="E8:E13 E15">
      <formula1>0.0</formula1>
      <formula2>10.0</formula2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5.75"/>
    <col customWidth="1" min="2" max="2" width="23.63"/>
    <col customWidth="1" min="3" max="3" width="23.75"/>
    <col customWidth="1" min="4" max="4" width="23.25"/>
    <col customWidth="1" min="5" max="5" width="12.25"/>
    <col customWidth="1" min="6" max="6" width="11.0"/>
    <col customWidth="1" min="7" max="7" width="11.63"/>
  </cols>
  <sheetData>
    <row r="1" ht="19.5" customHeight="1">
      <c r="A1" s="2" t="str">
        <f>'Team Rubric'!A1</f>
        <v>BMCS2063 Data Structures and Algorithms - Assignment Rubrics 202505</v>
      </c>
      <c r="B1" s="2"/>
      <c r="C1" s="2"/>
      <c r="D1" s="2"/>
      <c r="E1" s="39"/>
      <c r="F1" s="40" t="s">
        <v>24</v>
      </c>
      <c r="G1" s="41">
        <f>G14+G15</f>
        <v>0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</row>
    <row r="2" ht="7.5" customHeight="1">
      <c r="A2" s="8"/>
      <c r="B2" s="9"/>
      <c r="C2" s="9"/>
      <c r="D2" s="9"/>
      <c r="E2" s="10"/>
      <c r="F2" s="10"/>
      <c r="G2" s="10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ht="19.5" customHeight="1">
      <c r="A3" s="42"/>
      <c r="B3" s="20"/>
      <c r="C3" s="20"/>
      <c r="D3" s="43" t="s">
        <v>25</v>
      </c>
      <c r="E3" s="44"/>
      <c r="F3" s="17"/>
      <c r="G3" s="17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4" ht="22.5" customHeight="1">
      <c r="A4" s="12" t="s">
        <v>3</v>
      </c>
      <c r="B4" s="45" t="str">
        <f>'Team Rubric'!$B$4</f>
        <v/>
      </c>
      <c r="C4" s="14"/>
      <c r="D4" s="12" t="s">
        <v>4</v>
      </c>
      <c r="E4" s="46" t="str">
        <f>'Team Rubric'!F4</f>
        <v/>
      </c>
      <c r="F4" s="14"/>
      <c r="G4" s="14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</row>
    <row r="5" ht="15.75" customHeight="1">
      <c r="A5" s="19"/>
      <c r="B5" s="20"/>
      <c r="C5" s="20"/>
      <c r="D5" s="20"/>
      <c r="E5" s="21"/>
      <c r="F5" s="12"/>
      <c r="G5" s="12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ht="15.75" customHeight="1">
      <c r="A6" s="22" t="s">
        <v>5</v>
      </c>
      <c r="B6" s="23" t="s">
        <v>6</v>
      </c>
      <c r="C6" s="23" t="s">
        <v>7</v>
      </c>
      <c r="D6" s="23" t="s">
        <v>8</v>
      </c>
      <c r="E6" s="24" t="s">
        <v>9</v>
      </c>
      <c r="F6" s="24" t="s">
        <v>10</v>
      </c>
      <c r="G6" s="24" t="s">
        <v>11</v>
      </c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ht="15.75" customHeight="1">
      <c r="A7" s="25"/>
      <c r="B7" s="25"/>
      <c r="C7" s="25"/>
      <c r="D7" s="25"/>
      <c r="E7" s="25"/>
      <c r="F7" s="25"/>
      <c r="G7" s="25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ht="39.0" customHeight="1">
      <c r="A8" s="47" t="s">
        <v>12</v>
      </c>
      <c r="B8" s="47" t="s">
        <v>13</v>
      </c>
      <c r="C8" s="47" t="s">
        <v>14</v>
      </c>
      <c r="D8" s="47" t="s">
        <v>15</v>
      </c>
      <c r="E8" s="48" t="str">
        <f>'Team Rubric'!$E$8</f>
        <v/>
      </c>
      <c r="F8" s="49">
        <v>1.0</v>
      </c>
      <c r="G8" s="31">
        <f t="shared" ref="G8:G13" si="1">E8*F8</f>
        <v>0</v>
      </c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 ht="33.75" customHeight="1">
      <c r="A9" s="47" t="s">
        <v>16</v>
      </c>
      <c r="B9" s="47" t="s">
        <v>13</v>
      </c>
      <c r="C9" s="47" t="s">
        <v>17</v>
      </c>
      <c r="D9" s="47" t="s">
        <v>18</v>
      </c>
      <c r="E9" s="48" t="str">
        <f>'Team Rubric'!$E$9</f>
        <v/>
      </c>
      <c r="F9" s="49">
        <v>1.0</v>
      </c>
      <c r="G9" s="31">
        <f t="shared" si="1"/>
        <v>0</v>
      </c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 ht="42.0" customHeight="1">
      <c r="A10" s="47" t="s">
        <v>19</v>
      </c>
      <c r="B10" s="47" t="s">
        <v>20</v>
      </c>
      <c r="C10" s="47" t="s">
        <v>21</v>
      </c>
      <c r="D10" s="47" t="s">
        <v>22</v>
      </c>
      <c r="E10" s="48" t="str">
        <f>'Team Rubric'!$E$10</f>
        <v/>
      </c>
      <c r="F10" s="49">
        <v>1.5</v>
      </c>
      <c r="G10" s="31">
        <f t="shared" si="1"/>
        <v>0</v>
      </c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 ht="32.25" customHeight="1">
      <c r="A11" s="47" t="s">
        <v>26</v>
      </c>
      <c r="B11" s="47" t="s">
        <v>27</v>
      </c>
      <c r="C11" s="47" t="s">
        <v>28</v>
      </c>
      <c r="D11" s="47" t="s">
        <v>29</v>
      </c>
      <c r="E11" s="68"/>
      <c r="F11" s="49">
        <v>1.5</v>
      </c>
      <c r="G11" s="31">
        <f t="shared" si="1"/>
        <v>0</v>
      </c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</row>
    <row r="12" ht="40.5" customHeight="1">
      <c r="A12" s="47" t="s">
        <v>30</v>
      </c>
      <c r="B12" s="47" t="s">
        <v>31</v>
      </c>
      <c r="C12" s="47" t="s">
        <v>32</v>
      </c>
      <c r="D12" s="47" t="s">
        <v>49</v>
      </c>
      <c r="E12" s="68"/>
      <c r="F12" s="49">
        <v>2.0</v>
      </c>
      <c r="G12" s="31">
        <f t="shared" si="1"/>
        <v>0</v>
      </c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 ht="40.5" customHeight="1">
      <c r="A13" s="47" t="s">
        <v>34</v>
      </c>
      <c r="B13" s="47" t="s">
        <v>35</v>
      </c>
      <c r="C13" s="47" t="s">
        <v>36</v>
      </c>
      <c r="D13" s="47" t="s">
        <v>37</v>
      </c>
      <c r="E13" s="68"/>
      <c r="F13" s="49">
        <v>1.5</v>
      </c>
      <c r="G13" s="31">
        <f t="shared" si="1"/>
        <v>0</v>
      </c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 ht="30.0" customHeight="1">
      <c r="A14" s="55" t="s">
        <v>50</v>
      </c>
      <c r="B14" s="36"/>
      <c r="C14" s="36"/>
      <c r="D14" s="36"/>
      <c r="E14" s="37"/>
      <c r="F14" s="56" t="s">
        <v>39</v>
      </c>
      <c r="G14" s="56">
        <f>sum(G8:G13)</f>
        <v>0</v>
      </c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 ht="30.75" customHeight="1">
      <c r="A15" s="57" t="s">
        <v>40</v>
      </c>
      <c r="B15" s="57" t="s">
        <v>41</v>
      </c>
      <c r="C15" s="57" t="s">
        <v>42</v>
      </c>
      <c r="D15" s="57" t="s">
        <v>43</v>
      </c>
      <c r="E15" s="73"/>
      <c r="F15" s="71">
        <v>1.5</v>
      </c>
      <c r="G15" s="61">
        <f>E15*F15</f>
        <v>0</v>
      </c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 ht="15.75" customHeight="1">
      <c r="A16" s="62" t="s">
        <v>51</v>
      </c>
      <c r="E16" s="25"/>
      <c r="F16" s="65"/>
      <c r="G16" s="65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</row>
    <row r="17" ht="12.0" customHeight="1">
      <c r="A17" s="66"/>
      <c r="B17" s="36"/>
      <c r="C17" s="36"/>
      <c r="D17" s="36"/>
      <c r="E17" s="36"/>
      <c r="F17" s="36"/>
      <c r="G17" s="36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ht="24.75" customHeight="1">
      <c r="A18" s="35" t="s">
        <v>45</v>
      </c>
      <c r="B18" s="36"/>
      <c r="C18" s="36"/>
      <c r="D18" s="36"/>
      <c r="E18" s="36"/>
      <c r="F18" s="36"/>
      <c r="G18" s="37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</row>
    <row r="27" ht="15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</row>
    <row r="28" ht="15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</row>
    <row r="29" ht="15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</row>
    <row r="30" ht="15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</row>
    <row r="31" ht="15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</row>
    <row r="32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</row>
    <row r="33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</row>
    <row r="34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</row>
    <row r="3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</row>
    <row r="37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</row>
    <row r="40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</row>
    <row r="42" ht="15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</row>
    <row r="43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</row>
    <row r="44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</row>
    <row r="45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</row>
    <row r="46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</row>
    <row r="47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</row>
    <row r="48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</row>
    <row r="49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</row>
    <row r="50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</row>
    <row r="52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E6:E7"/>
    <mergeCell ref="F6:F7"/>
    <mergeCell ref="D6:D7"/>
    <mergeCell ref="A14:E14"/>
    <mergeCell ref="E15:E16"/>
    <mergeCell ref="F15:F16"/>
    <mergeCell ref="G15:G16"/>
    <mergeCell ref="A16:D16"/>
    <mergeCell ref="A17:G17"/>
    <mergeCell ref="A18:G18"/>
    <mergeCell ref="E3:G3"/>
    <mergeCell ref="B4:C4"/>
    <mergeCell ref="E4:G4"/>
    <mergeCell ref="A6:A7"/>
    <mergeCell ref="B6:B7"/>
    <mergeCell ref="C6:C7"/>
    <mergeCell ref="G6:G7"/>
  </mergeCells>
  <conditionalFormatting sqref="E8:E10">
    <cfRule type="notContainsBlanks" dxfId="1" priority="1">
      <formula>LEN(TRIM(E8))&gt;0</formula>
    </cfRule>
  </conditionalFormatting>
  <conditionalFormatting sqref="G14">
    <cfRule type="cellIs" dxfId="0" priority="2" operator="lessThan">
      <formula>40</formula>
    </cfRule>
  </conditionalFormatting>
  <dataValidations>
    <dataValidation type="decimal" allowBlank="1" showDropDown="1" showInputMessage="1" showErrorMessage="1" prompt="Enter a number between 0 and 10" sqref="E8:E13 E15">
      <formula1>0.0</formula1>
      <formula2>10.0</formula2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5.75"/>
    <col customWidth="1" min="2" max="2" width="22.5"/>
    <col customWidth="1" min="3" max="4" width="23.63"/>
    <col customWidth="1" min="5" max="5" width="12.25"/>
    <col customWidth="1" min="6" max="6" width="11.0"/>
    <col customWidth="1" min="7" max="7" width="11.63"/>
  </cols>
  <sheetData>
    <row r="1" ht="19.5" customHeight="1">
      <c r="A1" s="2" t="str">
        <f>'Team Rubric'!A1</f>
        <v>BMCS2063 Data Structures and Algorithms - Assignment Rubrics 202505</v>
      </c>
      <c r="B1" s="2"/>
      <c r="C1" s="2"/>
      <c r="D1" s="2"/>
      <c r="E1" s="39"/>
      <c r="F1" s="40" t="s">
        <v>24</v>
      </c>
      <c r="G1" s="41">
        <f>G14+G15</f>
        <v>0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</row>
    <row r="2" ht="7.5" customHeight="1">
      <c r="A2" s="8"/>
      <c r="B2" s="9"/>
      <c r="C2" s="9"/>
      <c r="D2" s="9"/>
      <c r="E2" s="10"/>
      <c r="F2" s="10"/>
      <c r="G2" s="10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ht="22.5" customHeight="1">
      <c r="A3" s="42"/>
      <c r="B3" s="20"/>
      <c r="C3" s="20"/>
      <c r="D3" s="43" t="s">
        <v>25</v>
      </c>
      <c r="E3" s="44"/>
      <c r="F3" s="17"/>
      <c r="G3" s="17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4" ht="22.5" customHeight="1">
      <c r="A4" s="12" t="s">
        <v>3</v>
      </c>
      <c r="B4" s="45" t="str">
        <f>'Team Rubric'!$B$4</f>
        <v/>
      </c>
      <c r="C4" s="14"/>
      <c r="D4" s="12" t="s">
        <v>4</v>
      </c>
      <c r="E4" s="46" t="str">
        <f>'Team Rubric'!F4</f>
        <v/>
      </c>
      <c r="F4" s="14"/>
      <c r="G4" s="14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</row>
    <row r="5" ht="15.75" customHeight="1">
      <c r="A5" s="19"/>
      <c r="B5" s="20"/>
      <c r="C5" s="20"/>
      <c r="D5" s="20"/>
      <c r="E5" s="21"/>
      <c r="F5" s="12"/>
      <c r="G5" s="12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ht="15.75" customHeight="1">
      <c r="A6" s="22" t="s">
        <v>5</v>
      </c>
      <c r="B6" s="23" t="s">
        <v>6</v>
      </c>
      <c r="C6" s="23" t="s">
        <v>7</v>
      </c>
      <c r="D6" s="23" t="s">
        <v>8</v>
      </c>
      <c r="E6" s="24" t="s">
        <v>9</v>
      </c>
      <c r="F6" s="24" t="s">
        <v>10</v>
      </c>
      <c r="G6" s="24" t="s">
        <v>11</v>
      </c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ht="15.75" customHeight="1">
      <c r="A7" s="25"/>
      <c r="B7" s="25"/>
      <c r="C7" s="25"/>
      <c r="D7" s="25"/>
      <c r="E7" s="25"/>
      <c r="F7" s="25"/>
      <c r="G7" s="25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ht="39.75" customHeight="1">
      <c r="A8" s="27" t="s">
        <v>12</v>
      </c>
      <c r="B8" s="27" t="s">
        <v>13</v>
      </c>
      <c r="C8" s="27" t="s">
        <v>14</v>
      </c>
      <c r="D8" s="27" t="s">
        <v>15</v>
      </c>
      <c r="E8" s="67" t="str">
        <f>'Team Rubric'!$E$8</f>
        <v/>
      </c>
      <c r="F8" s="49">
        <v>1.0</v>
      </c>
      <c r="G8" s="31">
        <f t="shared" ref="G8:G13" si="1">E8*F8</f>
        <v>0</v>
      </c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 ht="33.75" customHeight="1">
      <c r="A9" s="27" t="s">
        <v>16</v>
      </c>
      <c r="B9" s="27" t="s">
        <v>13</v>
      </c>
      <c r="C9" s="27" t="s">
        <v>17</v>
      </c>
      <c r="D9" s="27" t="s">
        <v>18</v>
      </c>
      <c r="E9" s="67" t="str">
        <f>'Team Rubric'!$E$9</f>
        <v/>
      </c>
      <c r="F9" s="49">
        <v>1.0</v>
      </c>
      <c r="G9" s="31">
        <f t="shared" si="1"/>
        <v>0</v>
      </c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 ht="42.0" customHeight="1">
      <c r="A10" s="27" t="s">
        <v>19</v>
      </c>
      <c r="B10" s="27" t="s">
        <v>20</v>
      </c>
      <c r="C10" s="27" t="s">
        <v>21</v>
      </c>
      <c r="D10" s="27" t="s">
        <v>22</v>
      </c>
      <c r="E10" s="67" t="str">
        <f>'Team Rubric'!$E$10</f>
        <v/>
      </c>
      <c r="F10" s="49">
        <v>1.5</v>
      </c>
      <c r="G10" s="31">
        <f t="shared" si="1"/>
        <v>0</v>
      </c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 ht="33.0" customHeight="1">
      <c r="A11" s="27" t="s">
        <v>26</v>
      </c>
      <c r="B11" s="27" t="s">
        <v>27</v>
      </c>
      <c r="C11" s="27" t="s">
        <v>28</v>
      </c>
      <c r="D11" s="27" t="s">
        <v>29</v>
      </c>
      <c r="E11" s="74"/>
      <c r="F11" s="49">
        <v>1.5</v>
      </c>
      <c r="G11" s="31">
        <f t="shared" si="1"/>
        <v>0</v>
      </c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</row>
    <row r="12" ht="40.5" customHeight="1">
      <c r="A12" s="27" t="s">
        <v>30</v>
      </c>
      <c r="B12" s="27" t="s">
        <v>31</v>
      </c>
      <c r="C12" s="27" t="s">
        <v>32</v>
      </c>
      <c r="D12" s="27" t="s">
        <v>52</v>
      </c>
      <c r="E12" s="74"/>
      <c r="F12" s="49">
        <v>2.0</v>
      </c>
      <c r="G12" s="31">
        <f t="shared" si="1"/>
        <v>0</v>
      </c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 ht="40.5" customHeight="1">
      <c r="A13" s="27" t="s">
        <v>34</v>
      </c>
      <c r="B13" s="27" t="s">
        <v>35</v>
      </c>
      <c r="C13" s="27" t="s">
        <v>36</v>
      </c>
      <c r="D13" s="27" t="s">
        <v>37</v>
      </c>
      <c r="E13" s="74"/>
      <c r="F13" s="49">
        <v>1.5</v>
      </c>
      <c r="G13" s="31">
        <f t="shared" si="1"/>
        <v>0</v>
      </c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 ht="30.0" customHeight="1">
      <c r="A14" s="55" t="s">
        <v>53</v>
      </c>
      <c r="B14" s="36"/>
      <c r="C14" s="36"/>
      <c r="D14" s="36"/>
      <c r="E14" s="37"/>
      <c r="F14" s="56" t="s">
        <v>39</v>
      </c>
      <c r="G14" s="56">
        <f>sum(G8:G13)</f>
        <v>0</v>
      </c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 ht="30.75" customHeight="1">
      <c r="A15" s="69" t="s">
        <v>40</v>
      </c>
      <c r="B15" s="69" t="s">
        <v>41</v>
      </c>
      <c r="C15" s="69" t="s">
        <v>42</v>
      </c>
      <c r="D15" s="69" t="s">
        <v>43</v>
      </c>
      <c r="E15" s="75"/>
      <c r="F15" s="71">
        <v>1.5</v>
      </c>
      <c r="G15" s="61">
        <f>E15*F15</f>
        <v>0</v>
      </c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 ht="15.75" customHeight="1">
      <c r="A16" s="72" t="s">
        <v>54</v>
      </c>
      <c r="E16" s="25"/>
      <c r="F16" s="65"/>
      <c r="G16" s="65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</row>
    <row r="17" ht="15.0" customHeight="1">
      <c r="A17" s="66"/>
      <c r="B17" s="36"/>
      <c r="C17" s="36"/>
      <c r="D17" s="36"/>
      <c r="E17" s="36"/>
      <c r="F17" s="36"/>
      <c r="G17" s="36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ht="32.25" customHeight="1">
      <c r="A18" s="35" t="s">
        <v>45</v>
      </c>
      <c r="B18" s="36"/>
      <c r="C18" s="36"/>
      <c r="D18" s="36"/>
      <c r="E18" s="36"/>
      <c r="F18" s="36"/>
      <c r="G18" s="37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</row>
    <row r="27" ht="15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</row>
    <row r="28" ht="15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</row>
    <row r="29" ht="15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</row>
    <row r="30" ht="15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</row>
    <row r="31" ht="15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</row>
    <row r="32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</row>
    <row r="33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</row>
    <row r="34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</row>
    <row r="3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</row>
    <row r="37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</row>
    <row r="40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</row>
    <row r="42" ht="15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</row>
    <row r="43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</row>
    <row r="44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</row>
    <row r="45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</row>
    <row r="46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</row>
    <row r="47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</row>
    <row r="48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</row>
    <row r="49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</row>
    <row r="50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</row>
    <row r="52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E6:E7"/>
    <mergeCell ref="F6:F7"/>
    <mergeCell ref="D6:D7"/>
    <mergeCell ref="A14:E14"/>
    <mergeCell ref="E15:E16"/>
    <mergeCell ref="F15:F16"/>
    <mergeCell ref="G15:G16"/>
    <mergeCell ref="A16:D16"/>
    <mergeCell ref="A17:G17"/>
    <mergeCell ref="A18:G18"/>
    <mergeCell ref="E3:G3"/>
    <mergeCell ref="B4:C4"/>
    <mergeCell ref="E4:G4"/>
    <mergeCell ref="A6:A7"/>
    <mergeCell ref="B6:B7"/>
    <mergeCell ref="C6:C7"/>
    <mergeCell ref="G6:G7"/>
  </mergeCells>
  <conditionalFormatting sqref="E8:E10">
    <cfRule type="notContainsBlanks" dxfId="1" priority="1">
      <formula>LEN(TRIM(E8))&gt;0</formula>
    </cfRule>
  </conditionalFormatting>
  <conditionalFormatting sqref="G14">
    <cfRule type="cellIs" dxfId="0" priority="2" operator="lessThan">
      <formula>40</formula>
    </cfRule>
  </conditionalFormatting>
  <dataValidations>
    <dataValidation type="decimal" allowBlank="1" showDropDown="1" showInputMessage="1" showErrorMessage="1" prompt="Enter a number between 0 and 10" sqref="E8:E13 E15">
      <formula1>0.0</formula1>
      <formula2>10.0</formula2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5.75"/>
    <col customWidth="1" min="2" max="2" width="23.38"/>
    <col customWidth="1" min="3" max="3" width="25.13"/>
    <col customWidth="1" min="4" max="4" width="24.88"/>
    <col customWidth="1" min="5" max="5" width="12.25"/>
    <col customWidth="1" min="6" max="6" width="11.0"/>
    <col customWidth="1" min="7" max="7" width="11.63"/>
  </cols>
  <sheetData>
    <row r="1" ht="21.0" customHeight="1">
      <c r="A1" s="2" t="str">
        <f>'Team Rubric'!A1</f>
        <v>BMCS2063 Data Structures and Algorithms - Assignment Rubrics 202505</v>
      </c>
      <c r="B1" s="2"/>
      <c r="C1" s="2"/>
      <c r="D1" s="2"/>
      <c r="E1" s="39"/>
      <c r="F1" s="40" t="s">
        <v>24</v>
      </c>
      <c r="G1" s="41">
        <f>G14+G15</f>
        <v>0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</row>
    <row r="2" ht="9.0" customHeight="1">
      <c r="A2" s="8"/>
      <c r="B2" s="9"/>
      <c r="C2" s="9"/>
      <c r="D2" s="9"/>
      <c r="E2" s="10"/>
      <c r="F2" s="10"/>
      <c r="G2" s="10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ht="22.5" customHeight="1">
      <c r="A3" s="42"/>
      <c r="B3" s="20"/>
      <c r="C3" s="20"/>
      <c r="D3" s="43" t="s">
        <v>25</v>
      </c>
      <c r="E3" s="44"/>
      <c r="F3" s="17"/>
      <c r="G3" s="17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4" ht="18.75" customHeight="1">
      <c r="A4" s="12" t="s">
        <v>3</v>
      </c>
      <c r="B4" s="45" t="str">
        <f>'Team Rubric'!$B$4</f>
        <v/>
      </c>
      <c r="C4" s="14"/>
      <c r="D4" s="12" t="s">
        <v>4</v>
      </c>
      <c r="E4" s="46" t="str">
        <f>'Team Rubric'!F4</f>
        <v/>
      </c>
      <c r="F4" s="14"/>
      <c r="G4" s="14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</row>
    <row r="5" ht="15.75" customHeight="1">
      <c r="A5" s="19"/>
      <c r="B5" s="20"/>
      <c r="C5" s="20"/>
      <c r="D5" s="20"/>
      <c r="E5" s="21"/>
      <c r="F5" s="12"/>
      <c r="G5" s="12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ht="15.75" customHeight="1">
      <c r="A6" s="22" t="s">
        <v>5</v>
      </c>
      <c r="B6" s="23" t="s">
        <v>6</v>
      </c>
      <c r="C6" s="23" t="s">
        <v>7</v>
      </c>
      <c r="D6" s="23" t="s">
        <v>8</v>
      </c>
      <c r="E6" s="24" t="s">
        <v>9</v>
      </c>
      <c r="F6" s="24" t="s">
        <v>10</v>
      </c>
      <c r="G6" s="24" t="s">
        <v>11</v>
      </c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ht="15.75" customHeight="1">
      <c r="A7" s="25"/>
      <c r="B7" s="25"/>
      <c r="C7" s="25"/>
      <c r="D7" s="25"/>
      <c r="E7" s="25"/>
      <c r="F7" s="25"/>
      <c r="G7" s="25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ht="39.75" customHeight="1">
      <c r="A8" s="27" t="s">
        <v>12</v>
      </c>
      <c r="B8" s="27" t="s">
        <v>13</v>
      </c>
      <c r="C8" s="27" t="s">
        <v>14</v>
      </c>
      <c r="D8" s="27" t="s">
        <v>15</v>
      </c>
      <c r="E8" s="67" t="str">
        <f>'Team Rubric'!$E$8</f>
        <v/>
      </c>
      <c r="F8" s="49">
        <v>1.0</v>
      </c>
      <c r="G8" s="31">
        <f t="shared" ref="G8:G13" si="1">E8*F8</f>
        <v>0</v>
      </c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 ht="33.75" customHeight="1">
      <c r="A9" s="27" t="s">
        <v>16</v>
      </c>
      <c r="B9" s="27" t="s">
        <v>13</v>
      </c>
      <c r="C9" s="27" t="s">
        <v>17</v>
      </c>
      <c r="D9" s="27" t="s">
        <v>18</v>
      </c>
      <c r="E9" s="67" t="str">
        <f>'Team Rubric'!$E$9</f>
        <v/>
      </c>
      <c r="F9" s="49">
        <v>1.0</v>
      </c>
      <c r="G9" s="31">
        <f t="shared" si="1"/>
        <v>0</v>
      </c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 ht="42.0" customHeight="1">
      <c r="A10" s="27" t="s">
        <v>19</v>
      </c>
      <c r="B10" s="27" t="s">
        <v>20</v>
      </c>
      <c r="C10" s="27" t="s">
        <v>21</v>
      </c>
      <c r="D10" s="27" t="s">
        <v>22</v>
      </c>
      <c r="E10" s="67" t="str">
        <f>'Team Rubric'!$E$10</f>
        <v/>
      </c>
      <c r="F10" s="49">
        <v>1.5</v>
      </c>
      <c r="G10" s="31">
        <f t="shared" si="1"/>
        <v>0</v>
      </c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 ht="33.0" customHeight="1">
      <c r="A11" s="27" t="s">
        <v>26</v>
      </c>
      <c r="B11" s="27" t="s">
        <v>27</v>
      </c>
      <c r="C11" s="27" t="s">
        <v>28</v>
      </c>
      <c r="D11" s="27" t="s">
        <v>29</v>
      </c>
      <c r="E11" s="74"/>
      <c r="F11" s="49">
        <v>1.5</v>
      </c>
      <c r="G11" s="31">
        <f t="shared" si="1"/>
        <v>0</v>
      </c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</row>
    <row r="12" ht="40.5" customHeight="1">
      <c r="A12" s="27" t="s">
        <v>30</v>
      </c>
      <c r="B12" s="27" t="s">
        <v>31</v>
      </c>
      <c r="C12" s="27" t="s">
        <v>32</v>
      </c>
      <c r="D12" s="27" t="s">
        <v>55</v>
      </c>
      <c r="E12" s="74"/>
      <c r="F12" s="49">
        <v>2.0</v>
      </c>
      <c r="G12" s="31">
        <f t="shared" si="1"/>
        <v>0</v>
      </c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 ht="40.5" customHeight="1">
      <c r="A13" s="27" t="s">
        <v>34</v>
      </c>
      <c r="B13" s="27" t="s">
        <v>35</v>
      </c>
      <c r="C13" s="27" t="s">
        <v>36</v>
      </c>
      <c r="D13" s="27" t="s">
        <v>37</v>
      </c>
      <c r="E13" s="74"/>
      <c r="F13" s="49">
        <v>1.5</v>
      </c>
      <c r="G13" s="31">
        <f t="shared" si="1"/>
        <v>0</v>
      </c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 ht="30.0" customHeight="1">
      <c r="A14" s="55" t="s">
        <v>56</v>
      </c>
      <c r="B14" s="36"/>
      <c r="C14" s="36"/>
      <c r="D14" s="36"/>
      <c r="E14" s="37"/>
      <c r="F14" s="56" t="s">
        <v>39</v>
      </c>
      <c r="G14" s="56">
        <f>sum(G8:G13)</f>
        <v>0</v>
      </c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 ht="30.75" customHeight="1">
      <c r="A15" s="69" t="s">
        <v>40</v>
      </c>
      <c r="B15" s="69" t="s">
        <v>41</v>
      </c>
      <c r="C15" s="69" t="s">
        <v>42</v>
      </c>
      <c r="D15" s="69" t="s">
        <v>43</v>
      </c>
      <c r="E15" s="76"/>
      <c r="F15" s="71">
        <v>1.5</v>
      </c>
      <c r="G15" s="61">
        <f>E15*F15</f>
        <v>0</v>
      </c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 ht="15.75" customHeight="1">
      <c r="A16" s="72" t="s">
        <v>57</v>
      </c>
      <c r="E16" s="25"/>
      <c r="F16" s="65"/>
      <c r="G16" s="65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</row>
    <row r="17" ht="15.75" customHeight="1">
      <c r="A17" s="66"/>
      <c r="B17" s="36"/>
      <c r="C17" s="36"/>
      <c r="D17" s="36"/>
      <c r="E17" s="36"/>
      <c r="F17" s="36"/>
      <c r="G17" s="36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ht="30.75" customHeight="1">
      <c r="A18" s="35" t="s">
        <v>45</v>
      </c>
      <c r="B18" s="36"/>
      <c r="C18" s="36"/>
      <c r="D18" s="36"/>
      <c r="E18" s="36"/>
      <c r="F18" s="36"/>
      <c r="G18" s="37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</row>
    <row r="27" ht="15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</row>
    <row r="28" ht="15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</row>
    <row r="29" ht="15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</row>
    <row r="30" ht="15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</row>
    <row r="31" ht="15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</row>
    <row r="32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</row>
    <row r="33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</row>
    <row r="34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</row>
    <row r="3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</row>
    <row r="37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</row>
    <row r="40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</row>
    <row r="42" ht="15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</row>
    <row r="43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</row>
    <row r="44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</row>
    <row r="45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</row>
    <row r="46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</row>
    <row r="47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</row>
    <row r="48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</row>
    <row r="49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</row>
    <row r="50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</row>
    <row r="52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E6:E7"/>
    <mergeCell ref="F6:F7"/>
    <mergeCell ref="D6:D7"/>
    <mergeCell ref="A14:E14"/>
    <mergeCell ref="E15:E16"/>
    <mergeCell ref="F15:F16"/>
    <mergeCell ref="G15:G16"/>
    <mergeCell ref="A16:D16"/>
    <mergeCell ref="A17:G17"/>
    <mergeCell ref="A18:G18"/>
    <mergeCell ref="E3:G3"/>
    <mergeCell ref="B4:C4"/>
    <mergeCell ref="E4:G4"/>
    <mergeCell ref="A6:A7"/>
    <mergeCell ref="B6:B7"/>
    <mergeCell ref="C6:C7"/>
    <mergeCell ref="G6:G7"/>
  </mergeCells>
  <conditionalFormatting sqref="E8:E10">
    <cfRule type="notContainsBlanks" dxfId="1" priority="1">
      <formula>LEN(TRIM(E8))&gt;0</formula>
    </cfRule>
  </conditionalFormatting>
  <conditionalFormatting sqref="G14">
    <cfRule type="cellIs" dxfId="0" priority="2" operator="lessThan">
      <formula>40</formula>
    </cfRule>
  </conditionalFormatting>
  <dataValidations>
    <dataValidation type="decimal" allowBlank="1" showDropDown="1" showInputMessage="1" showErrorMessage="1" prompt="Enter a number between 0 and 10" sqref="E8:E13 E15">
      <formula1>0.0</formula1>
      <formula2>10.0</formula2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